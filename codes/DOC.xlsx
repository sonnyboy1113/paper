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HXY-python\pycharm\原油预测\原油期货预测\Data and Codes\codes\"/>
    </mc:Choice>
  </mc:AlternateContent>
  <xr:revisionPtr revIDLastSave="0" documentId="13_ncr:1_{99C30A1E-8C16-4437-B7CF-931C9420521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 s="1"/>
  <c r="D5" i="1" l="1"/>
  <c r="D6" i="1"/>
  <c r="D11" i="1" s="1"/>
  <c r="D10" i="1" l="1"/>
  <c r="D9" i="1" s="1"/>
  <c r="D7" i="1"/>
  <c r="D8" i="1" l="1"/>
  <c r="D13" i="1"/>
  <c r="D14" i="1" s="1"/>
</calcChain>
</file>

<file path=xl/sharedStrings.xml><?xml version="1.0" encoding="utf-8"?>
<sst xmlns="http://schemas.openxmlformats.org/spreadsheetml/2006/main" count="24" uniqueCount="24">
  <si>
    <t>size</t>
    <phoneticPr fontId="2" type="noConversion"/>
  </si>
  <si>
    <t>Py</t>
    <phoneticPr fontId="2" type="noConversion"/>
  </si>
  <si>
    <t>P*</t>
    <phoneticPr fontId="2" type="noConversion"/>
  </si>
  <si>
    <t>V</t>
    <phoneticPr fontId="2" type="noConversion"/>
  </si>
  <si>
    <t>W</t>
    <phoneticPr fontId="2" type="noConversion"/>
  </si>
  <si>
    <t>Qy</t>
    <phoneticPr fontId="2" type="noConversion"/>
  </si>
  <si>
    <t>Qz</t>
    <phoneticPr fontId="2" type="noConversion"/>
  </si>
  <si>
    <t>PT</t>
    <phoneticPr fontId="2" type="noConversion"/>
  </si>
  <si>
    <t>P-value</t>
    <phoneticPr fontId="2" type="noConversion"/>
  </si>
  <si>
    <t>D(Actual)</t>
    <phoneticPr fontId="1" type="noConversion"/>
  </si>
  <si>
    <t>D(LSTM)</t>
    <phoneticPr fontId="1" type="noConversion"/>
  </si>
  <si>
    <t>=COUNT(A2:A230)</t>
    <phoneticPr fontId="1" type="noConversion"/>
  </si>
  <si>
    <t>=(COUNTIFS(A2:A230,"&gt;0",B2:B230,"&gt;0")+COUNTIFS(A2:A230,"&lt;0",B2:B230,"&lt;0"))/D3</t>
    <phoneticPr fontId="1" type="noConversion"/>
  </si>
  <si>
    <t>=COUNTIF(A2:A230,"&gt;0")/D3</t>
    <phoneticPr fontId="1" type="noConversion"/>
  </si>
  <si>
    <t>=COUNTIF(B2:B230,"&gt;0")/D3</t>
    <phoneticPr fontId="1" type="noConversion"/>
  </si>
  <si>
    <t>=D5*D6+(1-D5)*(1-D6)</t>
    <phoneticPr fontId="1" type="noConversion"/>
  </si>
  <si>
    <t>=D7*(1-D7)/D3</t>
    <phoneticPr fontId="1" type="noConversion"/>
  </si>
  <si>
    <t>=D11*(2*D5-1)^2+D10*(2*D6-1)^2+4*D10*D11</t>
    <phoneticPr fontId="1" type="noConversion"/>
  </si>
  <si>
    <t>=D5*(1-D5)/D3</t>
    <phoneticPr fontId="1" type="noConversion"/>
  </si>
  <si>
    <t>=D6*(1-D6)/D3</t>
    <phoneticPr fontId="1" type="noConversion"/>
  </si>
  <si>
    <t>=(D4-D7)/SQRT(D8-D9)</t>
    <phoneticPr fontId="1" type="noConversion"/>
  </si>
  <si>
    <t>=1-NORM.S.DIST(D13,TRUE)</t>
    <phoneticPr fontId="1" type="noConversion"/>
  </si>
  <si>
    <t>Pz</t>
    <phoneticPr fontId="2" type="noConversion"/>
  </si>
  <si>
    <t>Pyz/DoC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</si>
</sst>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_ "/>
    <numFmt numFmtId="181" formatCode="0.0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/>
    <xf numFmtId="176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  <xf numFmtId="181" fontId="0" fillId="0" borderId="0" xfId="0" applyNumberFormat="1"/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0"/>
  <sheetViews>
    <sheetView tabSelected="1" zoomScale="130" zoomScaleNormal="130" workbookViewId="0">
      <selection activeCell="I17" sqref="I17"/>
    </sheetView>
  </sheetViews>
  <sheetFormatPr defaultRowHeight="13.9" x14ac:dyDescent="0.4"/>
  <cols>
    <col min="1" max="3" width="9.06640625" style="1"/>
    <col min="4" max="4" width="12.46484375" style="2" bestFit="1" customWidth="1"/>
    <col min="5" max="5" width="9.06640625" style="6"/>
    <col min="7" max="8" width="9.06640625" style="1"/>
    <col min="10" max="10" width="9.06640625" style="5"/>
  </cols>
  <sheetData>
    <row r="1" spans="1:12" x14ac:dyDescent="0.4">
      <c r="A1" s="1" t="s">
        <v>9</v>
      </c>
      <c r="B1" s="1" t="s">
        <v>10</v>
      </c>
    </row>
    <row r="2" spans="1:12" x14ac:dyDescent="0.4">
      <c r="A2" s="1">
        <v>1.0750388000000055E-2</v>
      </c>
      <c r="B2" s="1">
        <v>8.9156400000000025E-3</v>
      </c>
      <c r="G2" s="4"/>
    </row>
    <row r="3" spans="1:12" x14ac:dyDescent="0.4">
      <c r="A3" s="1">
        <v>6.1346739999999955E-2</v>
      </c>
      <c r="B3" s="1">
        <v>7.4824459999999982E-2</v>
      </c>
      <c r="C3" s="1" t="s">
        <v>0</v>
      </c>
      <c r="D3" s="1">
        <f>COUNT(A2:A230)</f>
        <v>229</v>
      </c>
      <c r="E3" s="6" t="s">
        <v>11</v>
      </c>
    </row>
    <row r="4" spans="1:12" x14ac:dyDescent="0.4">
      <c r="A4" s="1">
        <v>-2.6599633000000011E-2</v>
      </c>
      <c r="B4" s="1">
        <v>-8.7443999999999855E-3</v>
      </c>
      <c r="C4" s="1" t="s">
        <v>23</v>
      </c>
      <c r="D4" s="1">
        <f>(COUNTIFS(A2:A230,"&gt;0",B2:B230,"&gt;0")+COUNTIFS(A2:A230,"&lt;0",B2:B230,"&lt;0"))/D3</f>
        <v>0.72489082969432317</v>
      </c>
      <c r="E4" s="6" t="s">
        <v>12</v>
      </c>
    </row>
    <row r="5" spans="1:12" x14ac:dyDescent="0.4">
      <c r="A5" s="1">
        <v>4.0131216000000025E-2</v>
      </c>
      <c r="B5" s="1">
        <v>4.5187599999999994E-2</v>
      </c>
      <c r="C5" s="1" t="s">
        <v>1</v>
      </c>
      <c r="D5" s="1">
        <f>COUNTIF(A2:A230,"&gt;0")/D3</f>
        <v>0.49781659388646288</v>
      </c>
      <c r="E5" s="6" t="s">
        <v>13</v>
      </c>
    </row>
    <row r="6" spans="1:12" x14ac:dyDescent="0.4">
      <c r="A6" s="1">
        <v>-6.2933450000000057E-3</v>
      </c>
      <c r="B6" s="1">
        <v>-3.1915899999999997E-2</v>
      </c>
      <c r="C6" s="1" t="s">
        <v>22</v>
      </c>
      <c r="D6" s="1">
        <f>COUNTIF(B2:B230,"&gt;0")/D3</f>
        <v>0.51091703056768556</v>
      </c>
      <c r="E6" s="6" t="s">
        <v>14</v>
      </c>
    </row>
    <row r="7" spans="1:12" x14ac:dyDescent="0.4">
      <c r="A7" s="1">
        <v>-2.7936745999999957E-2</v>
      </c>
      <c r="B7" s="1">
        <v>1.9748199999999994E-2</v>
      </c>
      <c r="C7" s="1" t="s">
        <v>2</v>
      </c>
      <c r="D7" s="1">
        <f>D5*D6+(1-D5)*(1-D6)</f>
        <v>0.49995232737743367</v>
      </c>
      <c r="E7" s="6" t="s">
        <v>15</v>
      </c>
    </row>
    <row r="8" spans="1:12" x14ac:dyDescent="0.4">
      <c r="A8" s="1">
        <v>-4.7993439000000082E-2</v>
      </c>
      <c r="B8" s="1">
        <v>-0.10851919999999993</v>
      </c>
      <c r="C8" s="1" t="s">
        <v>3</v>
      </c>
      <c r="D8" s="1">
        <f>D7*(1-D7)/D3</f>
        <v>1.0917030468441968E-3</v>
      </c>
      <c r="E8" s="6" t="s">
        <v>16</v>
      </c>
    </row>
    <row r="9" spans="1:12" x14ac:dyDescent="0.4">
      <c r="A9" s="1">
        <v>1.9646646000000101E-2</v>
      </c>
      <c r="B9" s="1">
        <v>3.0983239999999967E-2</v>
      </c>
      <c r="C9" s="1" t="s">
        <v>4</v>
      </c>
      <c r="D9" s="1">
        <f>D11*(2*D5-1)^2+D10*(2*D6-1)^2+4*D10*D11</f>
        <v>5.3061400820547533E-6</v>
      </c>
      <c r="E9" s="6" t="s">
        <v>17</v>
      </c>
    </row>
    <row r="10" spans="1:12" x14ac:dyDescent="0.4">
      <c r="A10" s="1">
        <v>-3.0076127000000064E-2</v>
      </c>
      <c r="B10" s="1">
        <v>3.5514000000000046E-2</v>
      </c>
      <c r="C10" s="1" t="s">
        <v>5</v>
      </c>
      <c r="D10" s="1">
        <f>D5*(1-D5)/D3</f>
        <v>1.0916822390294469E-3</v>
      </c>
      <c r="E10" s="6" t="s">
        <v>18</v>
      </c>
    </row>
    <row r="11" spans="1:12" x14ac:dyDescent="0.4">
      <c r="A11" s="1">
        <v>-3.626250200000003E-2</v>
      </c>
      <c r="B11" s="1">
        <v>-7.7904400000000096E-2</v>
      </c>
      <c r="C11" s="1" t="s">
        <v>6</v>
      </c>
      <c r="D11" s="1">
        <f>D6*(1-D6)/D3</f>
        <v>1.0911826132907608E-3</v>
      </c>
      <c r="E11" s="6" t="s">
        <v>19</v>
      </c>
    </row>
    <row r="12" spans="1:12" x14ac:dyDescent="0.4">
      <c r="A12" s="1">
        <v>5.0542868000000074E-2</v>
      </c>
      <c r="B12" s="1">
        <v>-2.1462839999999983E-2</v>
      </c>
      <c r="D12" s="1"/>
      <c r="K12" s="5"/>
      <c r="L12" s="5"/>
    </row>
    <row r="13" spans="1:12" x14ac:dyDescent="0.4">
      <c r="A13" s="1">
        <v>-7.7374267000000052E-2</v>
      </c>
      <c r="B13" s="1">
        <v>6.6360600000000547E-3</v>
      </c>
      <c r="C13" s="1" t="s">
        <v>7</v>
      </c>
      <c r="D13" s="1">
        <f>(D4-D7)/SQRT(D8-D9)</f>
        <v>6.8244795859912388</v>
      </c>
      <c r="E13" s="6" t="s">
        <v>20</v>
      </c>
    </row>
    <row r="14" spans="1:12" x14ac:dyDescent="0.4">
      <c r="A14" s="1">
        <v>-4.136135999999957E-3</v>
      </c>
      <c r="B14" s="1">
        <v>-1.7654959999999997E-2</v>
      </c>
      <c r="C14" s="1" t="s">
        <v>8</v>
      </c>
      <c r="D14" s="1">
        <f>1-_xlfn.NORM.S.DIST(D13,TRUE)</f>
        <v>4.4122483444652971E-12</v>
      </c>
      <c r="E14" s="6" t="s">
        <v>21</v>
      </c>
    </row>
    <row r="15" spans="1:12" x14ac:dyDescent="0.4">
      <c r="A15" s="1">
        <v>-2.5316000000000782E-3</v>
      </c>
      <c r="B15" s="1">
        <v>-1.1823699999999882E-3</v>
      </c>
      <c r="D15" s="3"/>
    </row>
    <row r="16" spans="1:12" x14ac:dyDescent="0.4">
      <c r="A16" s="1">
        <v>2.0145834000000029E-2</v>
      </c>
      <c r="B16" s="1">
        <v>-2.814483000000001E-2</v>
      </c>
      <c r="D16" s="3"/>
    </row>
    <row r="17" spans="1:2" x14ac:dyDescent="0.4">
      <c r="A17" s="1">
        <v>2.6100444E-2</v>
      </c>
      <c r="B17" s="1">
        <v>6.6663699999999992E-2</v>
      </c>
    </row>
    <row r="18" spans="1:2" x14ac:dyDescent="0.4">
      <c r="A18" s="1">
        <v>2.640352300000004E-2</v>
      </c>
      <c r="B18" s="1">
        <v>3.3899000000000012E-2</v>
      </c>
    </row>
    <row r="19" spans="1:2" x14ac:dyDescent="0.4">
      <c r="A19" s="1">
        <v>4.4873508999999978E-2</v>
      </c>
      <c r="B19" s="1">
        <v>1.5967500000000023E-2</v>
      </c>
    </row>
    <row r="20" spans="1:2" x14ac:dyDescent="0.4">
      <c r="A20" s="1">
        <v>6.7033930000000019E-3</v>
      </c>
      <c r="B20" s="1">
        <v>1.5539859999999961E-2</v>
      </c>
    </row>
    <row r="21" spans="1:2" x14ac:dyDescent="0.4">
      <c r="A21" s="1">
        <v>-3.0129610000000362E-3</v>
      </c>
      <c r="B21" s="1">
        <v>1.0415940000000012E-2</v>
      </c>
    </row>
    <row r="22" spans="1:2" x14ac:dyDescent="0.4">
      <c r="A22" s="1">
        <v>-3.2714695999999988E-2</v>
      </c>
      <c r="B22" s="1">
        <v>-5.8684999999999987E-2</v>
      </c>
    </row>
    <row r="23" spans="1:2" x14ac:dyDescent="0.4">
      <c r="A23" s="1">
        <v>9.9481200000000047E-3</v>
      </c>
      <c r="B23" s="1">
        <v>1.1013799999999963E-2</v>
      </c>
    </row>
    <row r="24" spans="1:2" x14ac:dyDescent="0.4">
      <c r="A24" s="1">
        <v>-1.3977287000000005E-2</v>
      </c>
      <c r="B24" s="1">
        <v>2.4528400000000006E-2</v>
      </c>
    </row>
    <row r="25" spans="1:2" x14ac:dyDescent="0.4">
      <c r="A25" s="1">
        <v>-6.6302972000000016E-2</v>
      </c>
      <c r="B25" s="1">
        <v>-3.686020000000001E-2</v>
      </c>
    </row>
    <row r="26" spans="1:2" x14ac:dyDescent="0.4">
      <c r="A26" s="1">
        <v>1.3139363000000071E-2</v>
      </c>
      <c r="B26" s="1">
        <v>-4.6994940000000041E-2</v>
      </c>
    </row>
    <row r="27" spans="1:2" x14ac:dyDescent="0.4">
      <c r="A27" s="1">
        <v>3.6779518999999983E-2</v>
      </c>
      <c r="B27" s="1">
        <v>3.4640340000000047E-2</v>
      </c>
    </row>
    <row r="28" spans="1:2" x14ac:dyDescent="0.4">
      <c r="A28" s="1">
        <v>-2.2124761000000048E-2</v>
      </c>
      <c r="B28" s="1">
        <v>7.7928000000000441E-3</v>
      </c>
    </row>
    <row r="29" spans="1:2" x14ac:dyDescent="0.4">
      <c r="A29" s="1">
        <v>3.8277085000000044E-2</v>
      </c>
      <c r="B29" s="1">
        <v>1.2240539999999966E-2</v>
      </c>
    </row>
    <row r="30" spans="1:2" x14ac:dyDescent="0.4">
      <c r="A30" s="1">
        <v>3.6209017999999982E-2</v>
      </c>
      <c r="B30" s="1">
        <v>-1.0966399999999821E-3</v>
      </c>
    </row>
    <row r="31" spans="1:2" x14ac:dyDescent="0.4">
      <c r="A31" s="1">
        <v>6.810360999999987E-3</v>
      </c>
      <c r="B31" s="1">
        <v>6.5484899999999957E-2</v>
      </c>
    </row>
    <row r="32" spans="1:2" x14ac:dyDescent="0.4">
      <c r="A32" s="1">
        <v>8.9497430000000655E-3</v>
      </c>
      <c r="B32" s="1">
        <v>2.3607260000000019E-2</v>
      </c>
    </row>
    <row r="33" spans="1:2" x14ac:dyDescent="0.4">
      <c r="A33" s="1">
        <v>-8.2330499000000001E-2</v>
      </c>
      <c r="B33" s="1">
        <v>-8.2940510000000023E-2</v>
      </c>
    </row>
    <row r="34" spans="1:2" x14ac:dyDescent="0.4">
      <c r="A34" s="1">
        <v>1.1053466999999983E-2</v>
      </c>
      <c r="B34" s="1">
        <v>-5.4421449999999982E-2</v>
      </c>
    </row>
    <row r="35" spans="1:2" x14ac:dyDescent="0.4">
      <c r="A35" s="1">
        <v>2.7009679999999925E-2</v>
      </c>
      <c r="B35" s="1">
        <v>7.3765399999999981E-2</v>
      </c>
    </row>
    <row r="36" spans="1:2" x14ac:dyDescent="0.4">
      <c r="A36" s="1">
        <v>2.8917295000000065E-2</v>
      </c>
      <c r="B36" s="1">
        <v>1.1106799999999972E-2</v>
      </c>
    </row>
    <row r="37" spans="1:2" x14ac:dyDescent="0.4">
      <c r="A37" s="1">
        <v>1.0340339999999948E-2</v>
      </c>
      <c r="B37" s="1">
        <v>3.7559300000000073E-2</v>
      </c>
    </row>
    <row r="38" spans="1:2" x14ac:dyDescent="0.4">
      <c r="A38" s="1">
        <v>4.1414844000000062E-2</v>
      </c>
      <c r="B38" s="1">
        <v>2.4616760000000015E-2</v>
      </c>
    </row>
    <row r="39" spans="1:2" x14ac:dyDescent="0.4">
      <c r="A39" s="1">
        <v>-3.3944839999999976E-2</v>
      </c>
      <c r="B39" s="1">
        <v>-2.3200600000000682E-3</v>
      </c>
    </row>
    <row r="40" spans="1:2" x14ac:dyDescent="0.4">
      <c r="A40" s="1">
        <v>-1.7097216999999998E-2</v>
      </c>
      <c r="B40" s="1">
        <v>-5.2558949999999993E-2</v>
      </c>
    </row>
    <row r="41" spans="1:2" x14ac:dyDescent="0.4">
      <c r="A41" s="1">
        <v>4.153963999999899E-3</v>
      </c>
      <c r="B41" s="1">
        <v>1.4659700000000053E-2</v>
      </c>
    </row>
    <row r="42" spans="1:2" x14ac:dyDescent="0.4">
      <c r="A42" s="1">
        <v>1.3478099000000077E-2</v>
      </c>
      <c r="B42" s="1">
        <v>9.4947799999999249E-3</v>
      </c>
    </row>
    <row r="43" spans="1:2" x14ac:dyDescent="0.4">
      <c r="A43" s="1">
        <v>-3.2055053999999972E-2</v>
      </c>
      <c r="B43" s="1">
        <v>7.7543300000000315E-3</v>
      </c>
    </row>
    <row r="44" spans="1:2" x14ac:dyDescent="0.4">
      <c r="A44" s="1">
        <v>3.7706583999999932E-2</v>
      </c>
      <c r="B44" s="1">
        <v>-1.0750420000000038E-2</v>
      </c>
    </row>
    <row r="45" spans="1:2" x14ac:dyDescent="0.4">
      <c r="A45" s="1">
        <v>8.0583340000000003E-3</v>
      </c>
      <c r="B45" s="1">
        <v>-5.2539999999989817E-5</v>
      </c>
    </row>
    <row r="46" spans="1:2" x14ac:dyDescent="0.4">
      <c r="A46" s="1">
        <v>2.7366243999999984E-2</v>
      </c>
      <c r="B46" s="1">
        <v>4.0594550000000007E-2</v>
      </c>
    </row>
    <row r="47" spans="1:2" x14ac:dyDescent="0.4">
      <c r="A47" s="1">
        <v>6.3824860000000205E-3</v>
      </c>
      <c r="B47" s="1">
        <v>1.3378450000000042E-2</v>
      </c>
    </row>
    <row r="48" spans="1:2" x14ac:dyDescent="0.4">
      <c r="A48" s="1">
        <v>4.1183077000000012E-2</v>
      </c>
      <c r="B48" s="1">
        <v>1.738240000000002E-2</v>
      </c>
    </row>
    <row r="49" spans="1:2" x14ac:dyDescent="0.4">
      <c r="A49" s="1">
        <v>-4.0933482999999993E-2</v>
      </c>
      <c r="B49" s="1">
        <v>-8.05889999999998E-3</v>
      </c>
    </row>
    <row r="50" spans="1:2" x14ac:dyDescent="0.4">
      <c r="A50" s="1">
        <v>-3.3623932000000023E-2</v>
      </c>
      <c r="B50" s="1">
        <v>-1.5873640000000022E-2</v>
      </c>
    </row>
    <row r="51" spans="1:2" x14ac:dyDescent="0.4">
      <c r="A51" s="1">
        <v>6.2291633000000068E-2</v>
      </c>
      <c r="B51" s="1">
        <v>9.9267399999999339E-3</v>
      </c>
    </row>
    <row r="52" spans="1:2" x14ac:dyDescent="0.4">
      <c r="A52" s="1">
        <v>6.5429389999999144E-3</v>
      </c>
      <c r="B52" s="1">
        <v>2.6348299999999991E-2</v>
      </c>
    </row>
    <row r="53" spans="1:2" x14ac:dyDescent="0.4">
      <c r="A53" s="1">
        <v>6.8638460000000068E-3</v>
      </c>
      <c r="B53" s="1">
        <v>8.8086000000000553E-3</v>
      </c>
    </row>
    <row r="54" spans="1:2" x14ac:dyDescent="0.4">
      <c r="A54" s="1">
        <v>2.1964308000000043E-2</v>
      </c>
      <c r="B54" s="1">
        <v>2.5364999999999971E-2</v>
      </c>
    </row>
    <row r="55" spans="1:2" x14ac:dyDescent="0.4">
      <c r="A55" s="1">
        <v>-4.8670910000000456E-3</v>
      </c>
      <c r="B55" s="1">
        <v>-4.352400000000034E-3</v>
      </c>
    </row>
    <row r="56" spans="1:2" x14ac:dyDescent="0.4">
      <c r="A56" s="1">
        <v>-2.6136099999999995E-2</v>
      </c>
      <c r="B56" s="1">
        <v>-1.1770399999999959E-2</v>
      </c>
    </row>
    <row r="57" spans="1:2" x14ac:dyDescent="0.4">
      <c r="A57" s="1">
        <v>3.4782764000000022E-2</v>
      </c>
      <c r="B57" s="1">
        <v>6.7950000000005506E-4</v>
      </c>
    </row>
    <row r="58" spans="1:2" x14ac:dyDescent="0.4">
      <c r="A58" s="1">
        <v>-3.1288442000000027E-2</v>
      </c>
      <c r="B58" s="1">
        <v>-5.3404000000000229E-3</v>
      </c>
    </row>
    <row r="59" spans="1:2" x14ac:dyDescent="0.4">
      <c r="A59" s="1">
        <v>-2.0092349999999981E-2</v>
      </c>
      <c r="B59" s="1">
        <v>-2.7665999999999968E-2</v>
      </c>
    </row>
    <row r="60" spans="1:2" x14ac:dyDescent="0.4">
      <c r="A60" s="1">
        <v>-6.8816750000000315E-3</v>
      </c>
      <c r="B60" s="1">
        <v>6.0960999999999377E-3</v>
      </c>
    </row>
    <row r="61" spans="1:2" x14ac:dyDescent="0.4">
      <c r="A61" s="1">
        <v>-8.1136011000000008E-2</v>
      </c>
      <c r="B61" s="1">
        <v>-6.9794750000000016E-2</v>
      </c>
    </row>
    <row r="62" spans="1:2" x14ac:dyDescent="0.4">
      <c r="A62" s="1">
        <v>2.708099400000008E-2</v>
      </c>
      <c r="B62" s="1">
        <v>-7.5827800000000112E-3</v>
      </c>
    </row>
    <row r="63" spans="1:2" x14ac:dyDescent="0.4">
      <c r="A63" s="1">
        <v>-4.4053414000000068E-2</v>
      </c>
      <c r="B63" s="1">
        <v>1.541672999999999E-2</v>
      </c>
    </row>
    <row r="64" spans="1:2" x14ac:dyDescent="0.4">
      <c r="A64" s="1">
        <v>1.9414880000000023E-2</v>
      </c>
      <c r="B64" s="1">
        <v>-6.5647649999999946E-2</v>
      </c>
    </row>
    <row r="65" spans="1:2" x14ac:dyDescent="0.4">
      <c r="A65" s="1">
        <v>-3.3178229000000004E-2</v>
      </c>
      <c r="B65" s="1">
        <v>-6.1914499999999872E-3</v>
      </c>
    </row>
    <row r="66" spans="1:2" x14ac:dyDescent="0.4">
      <c r="A66" s="1">
        <v>4.159312599999998E-2</v>
      </c>
      <c r="B66" s="1">
        <v>2.9144959999999998E-2</v>
      </c>
    </row>
    <row r="67" spans="1:2" x14ac:dyDescent="0.4">
      <c r="A67" s="1">
        <v>4.6406732000000006E-2</v>
      </c>
      <c r="B67" s="1">
        <v>3.0446879999999954E-2</v>
      </c>
    </row>
    <row r="68" spans="1:2" x14ac:dyDescent="0.4">
      <c r="A68" s="1">
        <v>-1.4797380000000082E-3</v>
      </c>
      <c r="B68" s="1">
        <v>3.7313229999999975E-2</v>
      </c>
    </row>
    <row r="69" spans="1:2" x14ac:dyDescent="0.4">
      <c r="A69" s="1">
        <v>6.0794060000000094E-3</v>
      </c>
      <c r="B69" s="1">
        <v>-2.0544829999999958E-2</v>
      </c>
    </row>
    <row r="70" spans="1:2" x14ac:dyDescent="0.4">
      <c r="A70" s="1">
        <v>-6.5678985999999995E-2</v>
      </c>
      <c r="B70" s="1">
        <v>-2.611774E-2</v>
      </c>
    </row>
    <row r="71" spans="1:2" x14ac:dyDescent="0.4">
      <c r="A71" s="1">
        <v>3.4533170000000002E-2</v>
      </c>
      <c r="B71" s="1">
        <v>1.0390099999999958E-2</v>
      </c>
    </row>
    <row r="72" spans="1:2" x14ac:dyDescent="0.4">
      <c r="A72" s="1">
        <v>7.7195979999999942E-3</v>
      </c>
      <c r="B72" s="1">
        <v>2.745026000000006E-2</v>
      </c>
    </row>
    <row r="73" spans="1:2" x14ac:dyDescent="0.4">
      <c r="A73" s="1">
        <v>-9.249255699999992E-2</v>
      </c>
      <c r="B73" s="1">
        <v>-9.8667260000000034E-2</v>
      </c>
    </row>
    <row r="74" spans="1:2" x14ac:dyDescent="0.4">
      <c r="A74" s="1">
        <v>-4.8563940000000083E-2</v>
      </c>
      <c r="B74" s="1">
        <v>-3.3464669999999974E-2</v>
      </c>
    </row>
    <row r="75" spans="1:2" x14ac:dyDescent="0.4">
      <c r="A75" s="1">
        <v>5.7353229000000061E-2</v>
      </c>
      <c r="B75" s="1">
        <v>2.3770069999999976E-2</v>
      </c>
    </row>
    <row r="76" spans="1:2" x14ac:dyDescent="0.4">
      <c r="A76" s="1">
        <v>8.5040379999999915E-3</v>
      </c>
      <c r="B76" s="1">
        <v>3.8472100000000009E-2</v>
      </c>
    </row>
    <row r="77" spans="1:2" x14ac:dyDescent="0.4">
      <c r="A77" s="1">
        <v>-7.7195979999999942E-3</v>
      </c>
      <c r="B77" s="1">
        <v>-1.5445249999999966E-2</v>
      </c>
    </row>
    <row r="78" spans="1:2" x14ac:dyDescent="0.4">
      <c r="A78" s="1">
        <v>-3.9097182000000008E-2</v>
      </c>
      <c r="B78" s="1">
        <v>-7.3079850000000057E-2</v>
      </c>
    </row>
    <row r="79" spans="1:2" x14ac:dyDescent="0.4">
      <c r="A79" s="1">
        <v>-2.1037242999999983E-2</v>
      </c>
      <c r="B79" s="1">
        <v>1.4196800000000009E-2</v>
      </c>
    </row>
    <row r="80" spans="1:2" x14ac:dyDescent="0.4">
      <c r="A80" s="1">
        <v>-2.0538054000000083E-2</v>
      </c>
      <c r="B80" s="1">
        <v>-5.5074299999999798E-3</v>
      </c>
    </row>
    <row r="81" spans="1:8" x14ac:dyDescent="0.4">
      <c r="A81" s="1">
        <v>6.5179797000000095E-2</v>
      </c>
      <c r="B81" s="1">
        <v>4.1642800000000202E-3</v>
      </c>
    </row>
    <row r="82" spans="1:8" x14ac:dyDescent="0.4">
      <c r="A82" s="1">
        <v>6.8281899999999007E-3</v>
      </c>
      <c r="B82" s="1">
        <v>5.9938190000000002E-2</v>
      </c>
    </row>
    <row r="83" spans="1:8" x14ac:dyDescent="0.4">
      <c r="A83" s="1">
        <v>-3.3873529999999263E-3</v>
      </c>
      <c r="B83" s="1">
        <v>-1.8761800000000051E-3</v>
      </c>
    </row>
    <row r="84" spans="1:8" x14ac:dyDescent="0.4">
      <c r="A84" s="1">
        <v>-6.6855639999999772E-3</v>
      </c>
      <c r="B84" s="1">
        <v>-1.1416760000000026E-2</v>
      </c>
    </row>
    <row r="85" spans="1:8" x14ac:dyDescent="0.4">
      <c r="A85" s="1">
        <v>-3.7795730000000916E-3</v>
      </c>
      <c r="B85" s="1">
        <v>-2.6737699999999975E-2</v>
      </c>
    </row>
    <row r="86" spans="1:8" x14ac:dyDescent="0.4">
      <c r="A86" s="1">
        <v>-3.8687132999999929E-2</v>
      </c>
      <c r="B86" s="1">
        <v>-2.7815299999999987E-2</v>
      </c>
      <c r="H86" s="4"/>
    </row>
    <row r="87" spans="1:8" x14ac:dyDescent="0.4">
      <c r="A87" s="1">
        <v>6.2737338000000031E-2</v>
      </c>
      <c r="B87" s="1">
        <v>6.9592600000000227E-3</v>
      </c>
    </row>
    <row r="88" spans="1:8" x14ac:dyDescent="0.4">
      <c r="A88" s="1">
        <v>-3.2268992000000107E-2</v>
      </c>
      <c r="B88" s="1">
        <v>2.0023640000000009E-2</v>
      </c>
    </row>
    <row r="89" spans="1:8" x14ac:dyDescent="0.4">
      <c r="A89" s="1">
        <v>5.4001533000000101E-2</v>
      </c>
      <c r="B89" s="1">
        <v>1.8727659999999924E-2</v>
      </c>
    </row>
    <row r="90" spans="1:8" x14ac:dyDescent="0.4">
      <c r="A90" s="1">
        <v>-9.6093839999999986E-3</v>
      </c>
      <c r="B90" s="1">
        <v>9.669939999999988E-3</v>
      </c>
    </row>
    <row r="91" spans="1:8" x14ac:dyDescent="0.4">
      <c r="A91" s="1">
        <v>8.4327249999999188E-3</v>
      </c>
      <c r="B91" s="1">
        <v>1.4136000000000037E-2</v>
      </c>
    </row>
    <row r="92" spans="1:8" x14ac:dyDescent="0.4">
      <c r="A92" s="1">
        <v>-1.9076144000000017E-2</v>
      </c>
      <c r="B92" s="1">
        <v>-4.0573999999999999E-2</v>
      </c>
    </row>
    <row r="93" spans="1:8" x14ac:dyDescent="0.4">
      <c r="A93" s="1">
        <v>-1.6758479999999798E-3</v>
      </c>
      <c r="B93" s="1">
        <v>7.4995399999999712E-3</v>
      </c>
    </row>
    <row r="94" spans="1:8" x14ac:dyDescent="0.4">
      <c r="A94" s="1">
        <v>-3.5549374999999994E-2</v>
      </c>
      <c r="B94" s="1">
        <v>-2.2008539999999965E-2</v>
      </c>
    </row>
    <row r="95" spans="1:8" x14ac:dyDescent="0.4">
      <c r="A95" s="1">
        <v>-1.3959458999999952E-2</v>
      </c>
      <c r="B95" s="1">
        <v>-4.1130699999999965E-2</v>
      </c>
    </row>
    <row r="96" spans="1:8" x14ac:dyDescent="0.4">
      <c r="A96" s="1">
        <v>1.6116666999999918E-2</v>
      </c>
      <c r="B96" s="1">
        <v>7.0143999999999762E-3</v>
      </c>
    </row>
    <row r="97" spans="1:2" x14ac:dyDescent="0.4">
      <c r="A97" s="1">
        <v>1.0465137000000069E-2</v>
      </c>
      <c r="B97" s="1">
        <v>2.5368199999999952E-2</v>
      </c>
    </row>
    <row r="98" spans="1:2" x14ac:dyDescent="0.4">
      <c r="A98" s="1">
        <v>1.5867079999999367E-3</v>
      </c>
      <c r="B98" s="1">
        <v>-1.5100000000001224E-4</v>
      </c>
    </row>
    <row r="99" spans="1:2" x14ac:dyDescent="0.4">
      <c r="A99" s="1">
        <v>2.5904334000000029E-2</v>
      </c>
      <c r="B99" s="1">
        <v>1.1703300000000083E-2</v>
      </c>
    </row>
    <row r="100" spans="1:2" x14ac:dyDescent="0.4">
      <c r="A100" s="1">
        <v>1.9254426000000047E-2</v>
      </c>
      <c r="B100" s="1">
        <v>2.6923099999999978E-2</v>
      </c>
    </row>
    <row r="101" spans="1:2" x14ac:dyDescent="0.4">
      <c r="A101" s="1">
        <v>-1.7222014999999979E-2</v>
      </c>
      <c r="B101" s="1">
        <v>-1.1187200000000064E-2</v>
      </c>
    </row>
    <row r="102" spans="1:2" x14ac:dyDescent="0.4">
      <c r="A102" s="1">
        <v>-1.7008076000000094E-2</v>
      </c>
      <c r="B102" s="1">
        <v>-4.3646469999999993E-2</v>
      </c>
    </row>
    <row r="103" spans="1:2" x14ac:dyDescent="0.4">
      <c r="A103" s="1">
        <v>-5.8832899999994304E-4</v>
      </c>
      <c r="B103" s="1">
        <v>1.8799300000000851E-3</v>
      </c>
    </row>
    <row r="104" spans="1:2" x14ac:dyDescent="0.4">
      <c r="A104" s="1">
        <v>2.3497529999999989E-2</v>
      </c>
      <c r="B104" s="1">
        <v>1.1303599999999969E-2</v>
      </c>
    </row>
    <row r="105" spans="1:2" x14ac:dyDescent="0.4">
      <c r="A105" s="1">
        <v>2.212476200000002E-2</v>
      </c>
      <c r="B105" s="1">
        <v>4.6335400000000027E-2</v>
      </c>
    </row>
    <row r="106" spans="1:2" x14ac:dyDescent="0.4">
      <c r="A106" s="1">
        <v>7.6482860000000041E-3</v>
      </c>
      <c r="B106" s="1">
        <v>-1.9081200000000687E-3</v>
      </c>
    </row>
    <row r="107" spans="1:2" x14ac:dyDescent="0.4">
      <c r="A107" s="1">
        <v>2.5209034999999935E-2</v>
      </c>
      <c r="B107" s="1">
        <v>8.2805599999999924E-3</v>
      </c>
    </row>
    <row r="108" spans="1:2" x14ac:dyDescent="0.4">
      <c r="A108" s="1">
        <v>3.130627000000008E-2</v>
      </c>
      <c r="B108" s="1">
        <v>4.3899300000000085E-2</v>
      </c>
    </row>
    <row r="109" spans="1:2" x14ac:dyDescent="0.4">
      <c r="A109" s="1">
        <v>1.3959458999999952E-2</v>
      </c>
      <c r="B109" s="1">
        <v>2.4952069999999993E-2</v>
      </c>
    </row>
    <row r="110" spans="1:2" x14ac:dyDescent="0.4">
      <c r="A110" s="1">
        <v>-1.7275499000000027E-2</v>
      </c>
      <c r="B110" s="1">
        <v>-2.6434310000000072E-2</v>
      </c>
    </row>
    <row r="111" spans="1:2" x14ac:dyDescent="0.4">
      <c r="A111" s="1">
        <v>-1.376334899999998E-2</v>
      </c>
      <c r="B111" s="1">
        <v>4.4720799999999894E-3</v>
      </c>
    </row>
    <row r="112" spans="1:2" x14ac:dyDescent="0.4">
      <c r="A112" s="1">
        <v>1.406642800000002E-2</v>
      </c>
      <c r="B112" s="1">
        <v>3.4396260000000067E-2</v>
      </c>
    </row>
    <row r="113" spans="1:8" x14ac:dyDescent="0.4">
      <c r="A113" s="1">
        <v>-3.5121499000000056E-2</v>
      </c>
      <c r="B113" s="1">
        <v>-4.7391900000000042E-2</v>
      </c>
    </row>
    <row r="114" spans="1:8" x14ac:dyDescent="0.4">
      <c r="A114" s="1">
        <v>-4.3108519999999984E-2</v>
      </c>
      <c r="B114" s="1">
        <v>-3.9931700000000014E-2</v>
      </c>
    </row>
    <row r="115" spans="1:8" x14ac:dyDescent="0.4">
      <c r="A115" s="1">
        <v>-1.1053466999999983E-2</v>
      </c>
      <c r="B115" s="1">
        <v>-3.3047500000000007E-2</v>
      </c>
    </row>
    <row r="116" spans="1:8" x14ac:dyDescent="0.4">
      <c r="A116" s="1">
        <v>1.6330606000000025E-2</v>
      </c>
      <c r="B116" s="1">
        <v>1.6008000000000022E-2</v>
      </c>
    </row>
    <row r="117" spans="1:8" x14ac:dyDescent="0.4">
      <c r="A117" s="1">
        <v>-2.1750369999999908E-3</v>
      </c>
      <c r="B117" s="1">
        <v>2.0455100000000059E-2</v>
      </c>
    </row>
    <row r="118" spans="1:8" x14ac:dyDescent="0.4">
      <c r="A118" s="1">
        <v>-3.6476440000000054E-2</v>
      </c>
      <c r="B118" s="1">
        <v>-2.6735530000000063E-2</v>
      </c>
    </row>
    <row r="119" spans="1:8" x14ac:dyDescent="0.4">
      <c r="A119" s="1">
        <v>-4.3928615999999976E-2</v>
      </c>
      <c r="B119" s="1">
        <v>-5.9371569999999929E-2</v>
      </c>
    </row>
    <row r="120" spans="1:8" x14ac:dyDescent="0.4">
      <c r="A120" s="1">
        <v>2.9416479999999634E-3</v>
      </c>
      <c r="B120" s="1">
        <v>4.6235699999999103E-3</v>
      </c>
    </row>
    <row r="121" spans="1:8" x14ac:dyDescent="0.4">
      <c r="A121" s="1">
        <v>2.7277104000000052E-2</v>
      </c>
      <c r="B121" s="1">
        <v>3.0304070000000016E-2</v>
      </c>
    </row>
    <row r="122" spans="1:8" x14ac:dyDescent="0.4">
      <c r="A122" s="1">
        <v>-9.2349940000000519E-3</v>
      </c>
      <c r="B122" s="1">
        <v>1.138126000000006E-2</v>
      </c>
    </row>
    <row r="123" spans="1:8" x14ac:dyDescent="0.4">
      <c r="A123" s="1">
        <v>4.5390527000000014E-2</v>
      </c>
      <c r="B123" s="1">
        <v>-5.6427000000003336E-4</v>
      </c>
    </row>
    <row r="124" spans="1:8" x14ac:dyDescent="0.4">
      <c r="A124" s="1">
        <v>-2.4032375999999966E-2</v>
      </c>
      <c r="B124" s="1">
        <v>-2.3084230000000039E-2</v>
      </c>
    </row>
    <row r="125" spans="1:8" x14ac:dyDescent="0.4">
      <c r="A125" s="1">
        <v>-4.3001551000000027E-2</v>
      </c>
      <c r="B125" s="1">
        <v>1.4508200000000082E-2</v>
      </c>
      <c r="H125" s="4"/>
    </row>
    <row r="126" spans="1:8" x14ac:dyDescent="0.4">
      <c r="A126" s="1">
        <v>9.1636800000000074E-3</v>
      </c>
      <c r="B126" s="1">
        <v>-2.2186000000000039E-2</v>
      </c>
    </row>
    <row r="127" spans="1:8" x14ac:dyDescent="0.4">
      <c r="A127" s="1">
        <v>2.2570466000000011E-2</v>
      </c>
      <c r="B127" s="1">
        <v>-8.7416599999999844E-3</v>
      </c>
    </row>
    <row r="128" spans="1:8" x14ac:dyDescent="0.4">
      <c r="A128" s="1">
        <v>-1.5385713000000023E-2</v>
      </c>
      <c r="B128" s="1">
        <v>-1.0702000000000211E-3</v>
      </c>
    </row>
    <row r="129" spans="1:7" x14ac:dyDescent="0.4">
      <c r="A129" s="1">
        <v>5.3485000000019767E-5</v>
      </c>
      <c r="B129" s="1">
        <v>6.6427599999999698E-3</v>
      </c>
    </row>
    <row r="130" spans="1:7" x14ac:dyDescent="0.4">
      <c r="A130" s="1">
        <v>-6.5090655999999969E-2</v>
      </c>
      <c r="B130" s="1">
        <v>-3.384189999999998E-2</v>
      </c>
    </row>
    <row r="131" spans="1:7" x14ac:dyDescent="0.4">
      <c r="A131" s="1">
        <v>-3.4230090000000324E-3</v>
      </c>
      <c r="B131" s="1">
        <v>-4.1881750000000051E-2</v>
      </c>
    </row>
    <row r="132" spans="1:7" x14ac:dyDescent="0.4">
      <c r="A132" s="1">
        <v>3.9221899999997145E-4</v>
      </c>
      <c r="B132" s="1">
        <v>1.6853950000000006E-2</v>
      </c>
    </row>
    <row r="133" spans="1:7" x14ac:dyDescent="0.4">
      <c r="A133" s="1">
        <v>4.1664439000000053E-2</v>
      </c>
      <c r="B133" s="1">
        <v>3.5562250000000017E-2</v>
      </c>
    </row>
    <row r="134" spans="1:7" x14ac:dyDescent="0.4">
      <c r="A134" s="1">
        <v>-1.7828180000000193E-3</v>
      </c>
      <c r="B134" s="1">
        <v>-9.5110999999992174E-4</v>
      </c>
      <c r="G134" s="4"/>
    </row>
    <row r="135" spans="1:7" x14ac:dyDescent="0.4">
      <c r="A135" s="1">
        <v>0.11739851300000004</v>
      </c>
      <c r="B135" s="1">
        <v>-1.5404880000000065E-2</v>
      </c>
    </row>
    <row r="136" spans="1:7" x14ac:dyDescent="0.4">
      <c r="A136" s="1">
        <v>-5.9724370000000526E-3</v>
      </c>
      <c r="B136" s="1">
        <v>0.16709274000000007</v>
      </c>
    </row>
    <row r="137" spans="1:7" x14ac:dyDescent="0.4">
      <c r="A137" s="1">
        <v>-1.549268199999998E-2</v>
      </c>
      <c r="B137" s="1">
        <v>-4.160980000000003E-2</v>
      </c>
    </row>
    <row r="138" spans="1:7" x14ac:dyDescent="0.4">
      <c r="A138" s="1">
        <v>-1.4440818999999938E-2</v>
      </c>
      <c r="B138" s="1">
        <v>-3.3305250000000064E-2</v>
      </c>
    </row>
    <row r="139" spans="1:7" x14ac:dyDescent="0.4">
      <c r="A139" s="1">
        <v>1.5581821999999912E-2</v>
      </c>
      <c r="B139" s="1">
        <v>2.115708999999999E-2</v>
      </c>
    </row>
    <row r="140" spans="1:7" x14ac:dyDescent="0.4">
      <c r="A140" s="1">
        <v>-2.5333831999999945E-2</v>
      </c>
      <c r="B140" s="1">
        <v>-3.739017E-2</v>
      </c>
    </row>
    <row r="141" spans="1:7" x14ac:dyDescent="0.4">
      <c r="A141" s="1">
        <v>6.6499079999999822E-3</v>
      </c>
      <c r="B141" s="1">
        <v>5.4200300000000201E-3</v>
      </c>
    </row>
    <row r="142" spans="1:7" x14ac:dyDescent="0.4">
      <c r="A142" s="1">
        <v>-2.6849227000000031E-2</v>
      </c>
      <c r="B142" s="1">
        <v>-1.2288100000000024E-2</v>
      </c>
    </row>
    <row r="143" spans="1:7" x14ac:dyDescent="0.4">
      <c r="A143" s="1">
        <v>1.9147456999999979E-2</v>
      </c>
      <c r="B143" s="1">
        <v>1.6368700000000014E-2</v>
      </c>
    </row>
    <row r="144" spans="1:7" x14ac:dyDescent="0.4">
      <c r="A144" s="1">
        <v>-1.3959458999999952E-2</v>
      </c>
      <c r="B144" s="1">
        <v>4.8778500000000724E-3</v>
      </c>
    </row>
    <row r="145" spans="1:2" x14ac:dyDescent="0.4">
      <c r="A145" s="1">
        <v>2.7811949999999586E-3</v>
      </c>
      <c r="B145" s="1">
        <v>-6.117250000000074E-3</v>
      </c>
    </row>
    <row r="146" spans="1:2" x14ac:dyDescent="0.4">
      <c r="A146" s="1">
        <v>1.1392202000000018E-2</v>
      </c>
      <c r="B146" s="1">
        <v>-1.6130500000000048E-3</v>
      </c>
    </row>
    <row r="147" spans="1:2" x14ac:dyDescent="0.4">
      <c r="A147" s="1">
        <v>-1.0447309000000016E-2</v>
      </c>
      <c r="B147" s="1">
        <v>7.3196900000001008E-3</v>
      </c>
    </row>
    <row r="148" spans="1:2" x14ac:dyDescent="0.4">
      <c r="A148" s="1">
        <v>2.2944857000000041E-2</v>
      </c>
      <c r="B148" s="1">
        <v>1.6910859999999972E-2</v>
      </c>
    </row>
    <row r="149" spans="1:2" x14ac:dyDescent="0.4">
      <c r="A149" s="1">
        <v>7.5234889999999943E-3</v>
      </c>
      <c r="B149" s="1">
        <v>6.4265599999999701E-3</v>
      </c>
    </row>
    <row r="150" spans="1:2" x14ac:dyDescent="0.4">
      <c r="A150" s="1">
        <v>-1.0999981999999964E-2</v>
      </c>
      <c r="B150" s="1">
        <v>-5.8560000000040802E-5</v>
      </c>
    </row>
    <row r="151" spans="1:2" x14ac:dyDescent="0.4">
      <c r="A151" s="1">
        <v>2.0502397999999977E-2</v>
      </c>
      <c r="B151" s="1">
        <v>-1.8655569999999955E-2</v>
      </c>
    </row>
    <row r="152" spans="1:2" x14ac:dyDescent="0.4">
      <c r="A152" s="1">
        <v>1.1427858000000013E-2</v>
      </c>
      <c r="B152" s="1">
        <v>3.1918769999999985E-2</v>
      </c>
    </row>
    <row r="153" spans="1:2" x14ac:dyDescent="0.4">
      <c r="A153" s="1">
        <v>5.9367809999999466E-3</v>
      </c>
      <c r="B153" s="1">
        <v>1.1101600000000045E-2</v>
      </c>
    </row>
    <row r="154" spans="1:2" x14ac:dyDescent="0.4">
      <c r="A154" s="1">
        <v>1.1713108999999999E-2</v>
      </c>
      <c r="B154" s="1">
        <v>-9.9742999999999915E-3</v>
      </c>
    </row>
    <row r="155" spans="1:2" x14ac:dyDescent="0.4">
      <c r="A155" s="1">
        <v>1.0162058000000029E-2</v>
      </c>
      <c r="B155" s="1">
        <v>4.6914339999999943E-2</v>
      </c>
    </row>
    <row r="156" spans="1:2" x14ac:dyDescent="0.4">
      <c r="A156" s="1">
        <v>-7.131199999999005E-5</v>
      </c>
      <c r="B156" s="1">
        <v>-1.6481740000000022E-2</v>
      </c>
    </row>
    <row r="157" spans="1:2" x14ac:dyDescent="0.4">
      <c r="A157" s="1">
        <v>-4.0256013000000035E-2</v>
      </c>
      <c r="B157" s="1">
        <v>-2.6312599999999908E-2</v>
      </c>
    </row>
    <row r="158" spans="1:2" x14ac:dyDescent="0.4">
      <c r="A158" s="1">
        <v>-3.3499135000000013E-2</v>
      </c>
      <c r="B158" s="1">
        <v>-3.1982600000000083E-2</v>
      </c>
    </row>
    <row r="159" spans="1:2" x14ac:dyDescent="0.4">
      <c r="A159" s="1">
        <v>1.3210675000000061E-2</v>
      </c>
      <c r="B159" s="1">
        <v>3.184100000000023E-3</v>
      </c>
    </row>
    <row r="160" spans="1:2" x14ac:dyDescent="0.4">
      <c r="A160" s="1">
        <v>-2.1696884999999999E-2</v>
      </c>
      <c r="B160" s="1">
        <v>2.2706059999999972E-2</v>
      </c>
    </row>
    <row r="161" spans="1:8" x14ac:dyDescent="0.4">
      <c r="A161" s="1">
        <v>-2.2534810000000016E-2</v>
      </c>
      <c r="B161" s="1">
        <v>-5.8018359999999936E-2</v>
      </c>
      <c r="G161" s="4"/>
    </row>
    <row r="162" spans="1:8" x14ac:dyDescent="0.4">
      <c r="A162" s="1">
        <v>-9.359789999999979E-3</v>
      </c>
      <c r="B162" s="1">
        <v>4.3578499999999964E-3</v>
      </c>
    </row>
    <row r="163" spans="1:8" x14ac:dyDescent="0.4">
      <c r="A163" s="1">
        <v>-2.057371100000005E-2</v>
      </c>
      <c r="B163" s="1">
        <v>-1.9744949999999983E-2</v>
      </c>
    </row>
    <row r="164" spans="1:8" x14ac:dyDescent="0.4">
      <c r="A164" s="1">
        <v>-1.9700129999999927E-2</v>
      </c>
      <c r="B164" s="1">
        <v>-3.4957149999999992E-2</v>
      </c>
      <c r="H164" s="4"/>
    </row>
    <row r="165" spans="1:8" x14ac:dyDescent="0.4">
      <c r="A165" s="1">
        <v>-3.1627177000000062E-2</v>
      </c>
      <c r="B165" s="1">
        <v>-1.7395500000000008E-2</v>
      </c>
    </row>
    <row r="166" spans="1:8" x14ac:dyDescent="0.4">
      <c r="A166" s="1">
        <v>-1.0786043999999939E-2</v>
      </c>
      <c r="B166" s="1">
        <v>-9.1959500000000638E-3</v>
      </c>
    </row>
    <row r="167" spans="1:8" x14ac:dyDescent="0.4">
      <c r="A167" s="1">
        <v>5.9011249999999515E-3</v>
      </c>
      <c r="B167" s="1">
        <v>-3.4490600000000038E-3</v>
      </c>
    </row>
    <row r="168" spans="1:8" x14ac:dyDescent="0.4">
      <c r="A168" s="1">
        <v>-4.5889714999999942E-2</v>
      </c>
      <c r="B168" s="1">
        <v>-3.4362739999999947E-2</v>
      </c>
    </row>
    <row r="169" spans="1:8" x14ac:dyDescent="0.4">
      <c r="A169" s="1">
        <v>5.0275439999999394E-3</v>
      </c>
      <c r="B169" s="1">
        <v>-2.5773500000000338E-3</v>
      </c>
    </row>
    <row r="170" spans="1:8" x14ac:dyDescent="0.4">
      <c r="A170" s="1">
        <v>-4.1503983999999994E-2</v>
      </c>
      <c r="B170" s="1">
        <v>-1.0173549999999976E-2</v>
      </c>
    </row>
    <row r="171" spans="1:8" x14ac:dyDescent="0.4">
      <c r="A171" s="1">
        <v>4.4213866999999962E-2</v>
      </c>
      <c r="B171" s="1">
        <v>-1.2753499999999973E-2</v>
      </c>
    </row>
    <row r="172" spans="1:8" x14ac:dyDescent="0.4">
      <c r="A172" s="1">
        <v>-3.7439160000000138E-3</v>
      </c>
      <c r="B172" s="1">
        <v>3.6011929999999914E-2</v>
      </c>
    </row>
    <row r="173" spans="1:8" x14ac:dyDescent="0.4">
      <c r="A173" s="1">
        <v>3.4408370000000854E-3</v>
      </c>
      <c r="B173" s="1">
        <v>1.2827520000000092E-2</v>
      </c>
    </row>
    <row r="174" spans="1:8" x14ac:dyDescent="0.4">
      <c r="A174" s="1">
        <v>1.4084249999999354E-3</v>
      </c>
      <c r="B174" s="1">
        <v>-2.7089100000000643E-3</v>
      </c>
    </row>
    <row r="175" spans="1:8" x14ac:dyDescent="0.4">
      <c r="A175" s="1">
        <v>-2.387192199999999E-2</v>
      </c>
      <c r="B175" s="1">
        <v>-2.2536699999999965E-2</v>
      </c>
    </row>
    <row r="176" spans="1:8" x14ac:dyDescent="0.4">
      <c r="A176" s="1">
        <v>-2.4995097000000022E-2</v>
      </c>
      <c r="B176" s="1">
        <v>-3.9642339999999998E-2</v>
      </c>
    </row>
    <row r="177" spans="1:2" x14ac:dyDescent="0.4">
      <c r="A177" s="1">
        <v>-5.0168476999999934E-2</v>
      </c>
      <c r="B177" s="1">
        <v>-3.4927099999999989E-2</v>
      </c>
    </row>
    <row r="178" spans="1:2" x14ac:dyDescent="0.4">
      <c r="A178" s="1">
        <v>-4.8492620000000208E-3</v>
      </c>
      <c r="B178" s="1">
        <v>-3.047080000000002E-2</v>
      </c>
    </row>
    <row r="179" spans="1:2" x14ac:dyDescent="0.4">
      <c r="A179" s="1">
        <v>-1.7525094000000019E-2</v>
      </c>
      <c r="B179" s="1">
        <v>-7.4215000000000253E-3</v>
      </c>
    </row>
    <row r="180" spans="1:2" x14ac:dyDescent="0.4">
      <c r="A180" s="1">
        <v>4.8136100000001347E-4</v>
      </c>
      <c r="B180" s="1">
        <v>-3.8494799999999607E-3</v>
      </c>
    </row>
    <row r="181" spans="1:2" x14ac:dyDescent="0.4">
      <c r="A181" s="1">
        <v>3.6939973000000015E-2</v>
      </c>
      <c r="B181" s="1">
        <v>1.4153379999999938E-2</v>
      </c>
    </row>
    <row r="182" spans="1:2" x14ac:dyDescent="0.4">
      <c r="A182" s="1">
        <v>4.3857299999999766E-3</v>
      </c>
      <c r="B182" s="1">
        <v>3.1675769999999992E-2</v>
      </c>
    </row>
    <row r="183" spans="1:2" x14ac:dyDescent="0.4">
      <c r="A183" s="1">
        <v>1.3406785000000032E-2</v>
      </c>
      <c r="B183" s="1">
        <v>1.6821030000000015E-2</v>
      </c>
    </row>
    <row r="184" spans="1:2" x14ac:dyDescent="0.4">
      <c r="A184" s="1">
        <v>-1.2657999999999836E-3</v>
      </c>
      <c r="B184" s="1">
        <v>-1.5196569999999965E-2</v>
      </c>
    </row>
    <row r="185" spans="1:2" x14ac:dyDescent="0.4">
      <c r="A185" s="1">
        <v>-4.0826510000000482E-3</v>
      </c>
      <c r="B185" s="1">
        <v>-1.5966590000000003E-2</v>
      </c>
    </row>
    <row r="186" spans="1:2" x14ac:dyDescent="0.4">
      <c r="A186" s="1">
        <v>3.7617439999999558E-3</v>
      </c>
      <c r="B186" s="1">
        <v>1.8763899999999945E-2</v>
      </c>
    </row>
    <row r="187" spans="1:2" x14ac:dyDescent="0.4">
      <c r="A187" s="1">
        <v>1.1124779000000085E-2</v>
      </c>
      <c r="B187" s="1">
        <v>3.1960000000008648E-4</v>
      </c>
    </row>
    <row r="188" spans="1:2" x14ac:dyDescent="0.4">
      <c r="A188" s="1">
        <v>8.1296469999999621E-3</v>
      </c>
      <c r="B188" s="1">
        <v>2.7219409999999944E-2</v>
      </c>
    </row>
    <row r="189" spans="1:2" x14ac:dyDescent="0.4">
      <c r="A189" s="1">
        <v>-2.6920539999999438E-3</v>
      </c>
      <c r="B189" s="1">
        <v>-3.6786199999999658E-3</v>
      </c>
    </row>
    <row r="190" spans="1:2" x14ac:dyDescent="0.4">
      <c r="A190" s="1">
        <v>2.6528319999999939E-2</v>
      </c>
      <c r="B190" s="1">
        <v>1.327946999999996E-2</v>
      </c>
    </row>
    <row r="191" spans="1:2" x14ac:dyDescent="0.4">
      <c r="A191" s="1">
        <v>1.2194469999999957E-2</v>
      </c>
      <c r="B191" s="1">
        <v>6.6475000000000284E-3</v>
      </c>
    </row>
    <row r="192" spans="1:2" x14ac:dyDescent="0.4">
      <c r="A192" s="1">
        <v>-1.1837906999999981E-2</v>
      </c>
      <c r="B192" s="1">
        <v>1.0446700000000031E-2</v>
      </c>
    </row>
    <row r="193" spans="1:2" x14ac:dyDescent="0.4">
      <c r="A193" s="1">
        <v>-1.128523299999995E-2</v>
      </c>
      <c r="B193" s="1">
        <v>-1.2224699999999977E-2</v>
      </c>
    </row>
    <row r="194" spans="1:2" x14ac:dyDescent="0.4">
      <c r="A194" s="1">
        <v>1.8737408999999983E-2</v>
      </c>
      <c r="B194" s="1">
        <v>-2.6318500000001022E-3</v>
      </c>
    </row>
    <row r="195" spans="1:2" x14ac:dyDescent="0.4">
      <c r="A195" s="1">
        <v>6.4537989999999823E-3</v>
      </c>
      <c r="B195" s="1">
        <v>2.8619250000000096E-2</v>
      </c>
    </row>
    <row r="196" spans="1:2" x14ac:dyDescent="0.4">
      <c r="A196" s="1">
        <v>-4.9491006000000004E-2</v>
      </c>
      <c r="B196" s="1">
        <v>-3.3481500000000053E-2</v>
      </c>
    </row>
    <row r="197" spans="1:2" x14ac:dyDescent="0.4">
      <c r="A197" s="1">
        <v>-3.1645005000000004E-2</v>
      </c>
      <c r="B197" s="1">
        <v>-5.4073150000000014E-2</v>
      </c>
    </row>
    <row r="198" spans="1:2" x14ac:dyDescent="0.4">
      <c r="A198" s="1">
        <v>8.9319140000000408E-3</v>
      </c>
      <c r="B198" s="1">
        <v>-7.2408000000001582E-4</v>
      </c>
    </row>
    <row r="199" spans="1:2" x14ac:dyDescent="0.4">
      <c r="A199" s="1">
        <v>-4.8314350000000506E-3</v>
      </c>
      <c r="B199" s="1">
        <v>5.5879000000003121E-4</v>
      </c>
    </row>
    <row r="200" spans="1:2" x14ac:dyDescent="0.4">
      <c r="A200" s="1">
        <v>-6.9708149999999636E-3</v>
      </c>
      <c r="B200" s="1">
        <v>6.041839999999965E-3</v>
      </c>
    </row>
    <row r="201" spans="1:2" x14ac:dyDescent="0.4">
      <c r="A201" s="1">
        <v>-3.3695249999999843E-3</v>
      </c>
      <c r="B201" s="1">
        <v>-9.0640999999999083E-3</v>
      </c>
    </row>
    <row r="202" spans="1:2" x14ac:dyDescent="0.4">
      <c r="A202" s="1">
        <v>2.0680680000000007E-2</v>
      </c>
      <c r="B202" s="1">
        <v>2.814479999999997E-2</v>
      </c>
    </row>
    <row r="203" spans="1:2" x14ac:dyDescent="0.4">
      <c r="A203" s="1">
        <v>1.6473230999999977E-2</v>
      </c>
      <c r="B203" s="1">
        <v>1.0563539999999927E-2</v>
      </c>
    </row>
    <row r="204" spans="1:2" x14ac:dyDescent="0.4">
      <c r="A204" s="1">
        <v>1.7471610000000526E-3</v>
      </c>
      <c r="B204" s="1">
        <v>6.744159999999999E-3</v>
      </c>
    </row>
    <row r="205" spans="1:2" x14ac:dyDescent="0.4">
      <c r="A205" s="1">
        <v>1.0447308999999905E-2</v>
      </c>
      <c r="B205" s="1">
        <v>-1.7564399999999925E-2</v>
      </c>
    </row>
    <row r="206" spans="1:2" x14ac:dyDescent="0.4">
      <c r="A206" s="1">
        <v>2.7936745000000096E-2</v>
      </c>
      <c r="B206" s="1">
        <v>2.7069659999999995E-2</v>
      </c>
    </row>
    <row r="207" spans="1:2" x14ac:dyDescent="0.4">
      <c r="A207" s="1">
        <v>-2.2873545000000051E-2</v>
      </c>
      <c r="B207" s="1">
        <v>-1.4018859999999966E-2</v>
      </c>
    </row>
    <row r="208" spans="1:2" x14ac:dyDescent="0.4">
      <c r="A208" s="1">
        <v>2.4638534000000045E-2</v>
      </c>
      <c r="B208" s="1">
        <v>1.0565899999999906E-2</v>
      </c>
    </row>
    <row r="209" spans="1:2" x14ac:dyDescent="0.4">
      <c r="A209" s="1">
        <v>-1.9325738000000037E-2</v>
      </c>
      <c r="B209" s="1">
        <v>1.2225800000000064E-2</v>
      </c>
    </row>
    <row r="210" spans="1:2" x14ac:dyDescent="0.4">
      <c r="A210" s="1">
        <v>-2.1019415000000041E-2</v>
      </c>
      <c r="B210" s="1">
        <v>-4.5003470000000045E-2</v>
      </c>
    </row>
    <row r="211" spans="1:2" x14ac:dyDescent="0.4">
      <c r="A211" s="1">
        <v>1.9468364000000071E-2</v>
      </c>
      <c r="B211" s="1">
        <v>8.062899999999984E-3</v>
      </c>
    </row>
    <row r="212" spans="1:2" x14ac:dyDescent="0.4">
      <c r="A212" s="1">
        <v>-3.0967535000000046E-2</v>
      </c>
      <c r="B212" s="1">
        <v>-1.5906329999999969E-2</v>
      </c>
    </row>
    <row r="213" spans="1:2" x14ac:dyDescent="0.4">
      <c r="A213" s="1">
        <v>-5.8298119999999898E-3</v>
      </c>
      <c r="B213" s="1">
        <v>-1.2797060000000027E-2</v>
      </c>
    </row>
    <row r="214" spans="1:2" x14ac:dyDescent="0.4">
      <c r="A214" s="1">
        <v>-2.3123140000000042E-2</v>
      </c>
      <c r="B214" s="1">
        <v>-1.9239609999999963E-2</v>
      </c>
    </row>
    <row r="215" spans="1:2" x14ac:dyDescent="0.4">
      <c r="A215" s="1">
        <v>2.2784404000000036E-2</v>
      </c>
      <c r="B215" s="1">
        <v>1.1188069999999994E-2</v>
      </c>
    </row>
    <row r="216" spans="1:2" x14ac:dyDescent="0.4">
      <c r="A216" s="1">
        <v>2.2285215000000025E-2</v>
      </c>
      <c r="B216" s="1">
        <v>3.370379999999995E-2</v>
      </c>
    </row>
    <row r="217" spans="1:2" x14ac:dyDescent="0.4">
      <c r="A217" s="1">
        <v>1.6027526999999986E-2</v>
      </c>
      <c r="B217" s="1">
        <v>1.0768440000000101E-2</v>
      </c>
    </row>
    <row r="218" spans="1:2" x14ac:dyDescent="0.4">
      <c r="A218" s="1">
        <v>-6.739048999999997E-3</v>
      </c>
      <c r="B218" s="1">
        <v>-5.7448400000000843E-3</v>
      </c>
    </row>
    <row r="219" spans="1:2" x14ac:dyDescent="0.4">
      <c r="A219" s="1">
        <v>1.2123156999999996E-2</v>
      </c>
      <c r="B219" s="1">
        <v>2.3293640000000004E-2</v>
      </c>
    </row>
    <row r="220" spans="1:2" x14ac:dyDescent="0.4">
      <c r="A220" s="1">
        <v>1.661585600000004E-2</v>
      </c>
      <c r="B220" s="1">
        <v>-7.2724399999999356E-3</v>
      </c>
    </row>
    <row r="221" spans="1:2" x14ac:dyDescent="0.4">
      <c r="A221" s="1">
        <v>-9.8233220000000232E-3</v>
      </c>
      <c r="B221" s="1">
        <v>1.1926500000000173E-3</v>
      </c>
    </row>
    <row r="222" spans="1:2" x14ac:dyDescent="0.4">
      <c r="A222" s="1">
        <v>2.0163661999999971E-2</v>
      </c>
      <c r="B222" s="1">
        <v>-1.5382200000000346E-3</v>
      </c>
    </row>
    <row r="223" spans="1:2" x14ac:dyDescent="0.4">
      <c r="A223" s="1">
        <v>-1.6152323999999996E-2</v>
      </c>
      <c r="B223" s="1">
        <v>9.4692699999999741E-3</v>
      </c>
    </row>
    <row r="224" spans="1:2" x14ac:dyDescent="0.4">
      <c r="A224" s="1">
        <v>-1.3442441000000027E-2</v>
      </c>
      <c r="B224" s="1">
        <v>-1.6059599999999952E-2</v>
      </c>
    </row>
    <row r="225" spans="1:2" x14ac:dyDescent="0.4">
      <c r="A225" s="1">
        <v>-1.2479720999999944E-2</v>
      </c>
      <c r="B225" s="1">
        <v>2.4266499999999747E-3</v>
      </c>
    </row>
    <row r="226" spans="1:2" x14ac:dyDescent="0.4">
      <c r="A226" s="1">
        <v>-3.7617440000000668E-3</v>
      </c>
      <c r="B226" s="1">
        <v>-1.8024680000000015E-2</v>
      </c>
    </row>
    <row r="227" spans="1:2" x14ac:dyDescent="0.4">
      <c r="A227" s="1">
        <v>-1.9254425999999936E-2</v>
      </c>
      <c r="B227" s="1">
        <v>-1.9184410000000041E-2</v>
      </c>
    </row>
    <row r="228" spans="1:2" x14ac:dyDescent="0.4">
      <c r="A228" s="1">
        <v>2.8721184999999982E-2</v>
      </c>
      <c r="B228" s="1">
        <v>1.5048640000000058E-2</v>
      </c>
    </row>
    <row r="229" spans="1:2" x14ac:dyDescent="0.4">
      <c r="A229" s="1">
        <v>-7.0064709999999586E-3</v>
      </c>
      <c r="B229" s="1">
        <v>1.5531500000000031E-2</v>
      </c>
    </row>
    <row r="230" spans="1:2" x14ac:dyDescent="0.4">
      <c r="A230" s="1">
        <v>-1.9611000000008261E-4</v>
      </c>
      <c r="B230" s="1">
        <v>-8.2666000000000128E-3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2015-06-05T18:19:34Z</dcterms:created>
  <dcterms:modified xsi:type="dcterms:W3CDTF">2023-08-23T09:15:10Z</dcterms:modified>
</cp:coreProperties>
</file>